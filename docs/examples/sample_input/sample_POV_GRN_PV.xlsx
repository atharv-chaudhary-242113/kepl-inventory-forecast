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 Chaudhary\RustroverProjects\kepl-inventory-forecast\docs\examples\sample_input\"/>
    </mc:Choice>
  </mc:AlternateContent>
  <xr:revisionPtr revIDLastSave="0" documentId="13_ncr:1_{62059889-7260-4F3A-8423-833DC7D9C9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J27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J43" i="1" s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7" i="1"/>
  <c r="I8" i="1"/>
  <c r="I9" i="1"/>
  <c r="I10" i="1"/>
  <c r="I11" i="1"/>
  <c r="G11" i="1"/>
  <c r="G12" i="1"/>
  <c r="G13" i="1"/>
  <c r="G14" i="1"/>
  <c r="G15" i="1"/>
  <c r="G16" i="1"/>
  <c r="J16" i="1" s="1"/>
  <c r="G17" i="1"/>
  <c r="J17" i="1" s="1"/>
  <c r="G18" i="1"/>
  <c r="J18" i="1" s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G40" i="1"/>
  <c r="G41" i="1"/>
  <c r="G42" i="1"/>
  <c r="G43" i="1"/>
  <c r="G44" i="1"/>
  <c r="G45" i="1"/>
  <c r="G46" i="1"/>
  <c r="G47" i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G56" i="1"/>
  <c r="G57" i="1"/>
  <c r="G58" i="1"/>
  <c r="G7" i="1"/>
  <c r="G8" i="1"/>
  <c r="G9" i="1"/>
  <c r="G10" i="1"/>
  <c r="I6" i="1"/>
  <c r="G6" i="1"/>
  <c r="J14" i="1" l="1"/>
  <c r="J13" i="1"/>
  <c r="J11" i="1"/>
  <c r="J10" i="1"/>
  <c r="J12" i="1"/>
  <c r="J15" i="1"/>
  <c r="J45" i="1"/>
  <c r="J47" i="1"/>
  <c r="J30" i="1"/>
  <c r="J22" i="1"/>
  <c r="J21" i="1"/>
  <c r="J20" i="1"/>
  <c r="J19" i="1"/>
  <c r="J31" i="1"/>
  <c r="J46" i="1"/>
  <c r="J9" i="1"/>
  <c r="J8" i="1"/>
  <c r="J44" i="1"/>
  <c r="J28" i="1"/>
  <c r="J29" i="1"/>
  <c r="J6" i="1"/>
  <c r="J7" i="1"/>
  <c r="J58" i="1"/>
  <c r="J42" i="1"/>
  <c r="J26" i="1"/>
  <c r="J57" i="1"/>
  <c r="J41" i="1"/>
  <c r="J25" i="1"/>
  <c r="J56" i="1"/>
  <c r="J40" i="1"/>
  <c r="J24" i="1"/>
  <c r="J55" i="1"/>
  <c r="J39" i="1"/>
  <c r="J23" i="1"/>
  <c r="G60" i="1"/>
  <c r="J60" i="1" l="1"/>
</calcChain>
</file>

<file path=xl/sharedStrings.xml><?xml version="1.0" encoding="utf-8"?>
<sst xmlns="http://schemas.openxmlformats.org/spreadsheetml/2006/main" count="176" uniqueCount="29">
  <si>
    <t>KHOKHAR ELECTRICALS PVT. LTD.</t>
  </si>
  <si>
    <t>Mat. Rcvd. from Party Register</t>
  </si>
  <si>
    <t>Voucher Series : All, All Broker</t>
  </si>
  <si>
    <t>From 1-4-2024 to 31-3-2025</t>
  </si>
  <si>
    <t>Date</t>
  </si>
  <si>
    <t>Vch/Bill No</t>
  </si>
  <si>
    <t>Particulars</t>
  </si>
  <si>
    <t>Item Details</t>
  </si>
  <si>
    <t>Material Centre</t>
  </si>
  <si>
    <t>Qty.</t>
  </si>
  <si>
    <t>Unit</t>
  </si>
  <si>
    <t>Price</t>
  </si>
  <si>
    <t>Amount</t>
  </si>
  <si>
    <t>Notes</t>
  </si>
  <si>
    <t>Nos</t>
  </si>
  <si>
    <t>N.A.</t>
  </si>
  <si>
    <t>Roll</t>
  </si>
  <si>
    <t>-</t>
  </si>
  <si>
    <t>Totals</t>
  </si>
  <si>
    <t>"Voucher"</t>
  </si>
  <si>
    <t>"Supplier"</t>
  </si>
  <si>
    <t>A</t>
  </si>
  <si>
    <t>B</t>
  </si>
  <si>
    <t>BA</t>
  </si>
  <si>
    <t>BB</t>
  </si>
  <si>
    <t>BT</t>
  </si>
  <si>
    <t>N</t>
  </si>
  <si>
    <t>4566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</si>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</sst>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A2" sqref="A2:K2"/>
    </sheetView>
  </sheetViews>
  <sheetFormatPr defaultRowHeight="14.4" x14ac:dyDescent="0.3"/>
  <cols>
    <col min="1" max="1" width="3.6640625" customWidth="1"/>
    <col min="2" max="2" width="10.6640625" customWidth="1"/>
    <col min="3" max="3" width="15.6640625" customWidth="1"/>
    <col min="4" max="4" width="28.6640625" customWidth="1"/>
    <col min="5" max="5" width="32.6640625" customWidth="1"/>
    <col min="6" max="6" width="30.6640625" customWidth="1"/>
    <col min="7" max="7" width="16.6640625" customWidth="1"/>
    <col min="8" max="8" width="12.6640625" customWidth="1"/>
    <col min="9" max="10" width="16.6640625" customWidth="1"/>
    <col min="11" max="11" width="35.6640625" customWidth="1"/>
  </cols>
  <sheetData>
    <row r="1" spans="1:11" ht="22.8" x14ac:dyDescent="0.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6" x14ac:dyDescent="0.3">
      <c r="A2" s="15" t="s">
        <v>28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7.399999999999999" x14ac:dyDescent="0.3">
      <c r="A3" s="1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5.6" x14ac:dyDescent="0.3">
      <c r="A4" s="17" t="s">
        <v>2</v>
      </c>
      <c r="B4" s="18"/>
      <c r="C4" s="18"/>
      <c r="D4" s="18"/>
      <c r="E4" s="18"/>
      <c r="F4" s="18"/>
      <c r="G4" s="19" t="s">
        <v>3</v>
      </c>
      <c r="H4" s="20"/>
      <c r="I4" s="20"/>
      <c r="J4" s="20"/>
      <c r="K4" s="20"/>
    </row>
    <row r="5" spans="1:11" x14ac:dyDescent="0.3">
      <c r="A5" s="4"/>
      <c r="B5" s="6" t="s">
        <v>4</v>
      </c>
      <c r="C5" s="6" t="s">
        <v>5</v>
      </c>
      <c r="D5" s="4" t="s">
        <v>6</v>
      </c>
      <c r="E5" s="4" t="s">
        <v>7</v>
      </c>
      <c r="F5" s="4" t="s">
        <v>8</v>
      </c>
      <c r="G5" s="10" t="s">
        <v>9</v>
      </c>
      <c r="H5" s="4" t="s">
        <v>10</v>
      </c>
      <c r="I5" s="10" t="s">
        <v>11</v>
      </c>
      <c r="J5" s="10" t="s">
        <v>12</v>
      </c>
      <c r="K5" s="4" t="s">
        <v>13</v>
      </c>
    </row>
    <row r="6" spans="1:11" x14ac:dyDescent="0.3">
      <c r="A6" s="5"/>
      <c r="B6" s="7">
        <v>45383</v>
      </c>
      <c r="C6" s="8" t="s">
        <v>19</v>
      </c>
      <c r="D6" s="5" t="s">
        <v>20</v>
      </c>
      <c r="E6" s="5" t="s">
        <v>7</v>
      </c>
      <c r="F6" s="5" t="s">
        <v>21</v>
      </c>
      <c r="G6" s="11">
        <f ca="1">RANDBETWEEN(1, 6000)</f>
        <v>1895</v>
      </c>
      <c r="H6" s="5" t="s">
        <v>14</v>
      </c>
      <c r="I6" s="11">
        <f ca="1">RANDBETWEEN(1, 6000)</f>
        <v>123</v>
      </c>
      <c r="J6" s="11">
        <f ca="1">G6*I6</f>
        <v>233085</v>
      </c>
      <c r="K6" s="5"/>
    </row>
    <row r="7" spans="1:11" x14ac:dyDescent="0.3">
      <c r="A7" s="5"/>
      <c r="B7" s="1"/>
      <c r="C7" s="8"/>
      <c r="D7" s="5"/>
      <c r="E7" s="5" t="s">
        <v>7</v>
      </c>
      <c r="F7" s="5"/>
      <c r="G7" s="11">
        <f t="shared" ref="G7:G58" ca="1" si="0">RANDBETWEEN(1, 6000)</f>
        <v>3514</v>
      </c>
      <c r="H7" s="5" t="s">
        <v>15</v>
      </c>
      <c r="I7" s="11">
        <f t="shared" ref="I7:I58" ca="1" si="1">RANDBETWEEN(1, 6000)</f>
        <v>385</v>
      </c>
      <c r="J7" s="11">
        <f t="shared" ref="J7:J58" ca="1" si="2">G7*I7</f>
        <v>1352890</v>
      </c>
      <c r="K7" s="5"/>
    </row>
    <row r="8" spans="1:11" x14ac:dyDescent="0.3">
      <c r="A8" s="5"/>
      <c r="B8" s="7">
        <v>45385</v>
      </c>
      <c r="C8" s="8" t="s">
        <v>19</v>
      </c>
      <c r="D8" s="5" t="s">
        <v>20</v>
      </c>
      <c r="E8" s="5" t="s">
        <v>7</v>
      </c>
      <c r="F8" s="5" t="s">
        <v>21</v>
      </c>
      <c r="G8" s="11">
        <f t="shared" ca="1" si="0"/>
        <v>138</v>
      </c>
      <c r="H8" s="5" t="s">
        <v>14</v>
      </c>
      <c r="I8" s="11">
        <f t="shared" ca="1" si="1"/>
        <v>714</v>
      </c>
      <c r="J8" s="11">
        <f t="shared" ca="1" si="2"/>
        <v>98532</v>
      </c>
      <c r="K8" s="5"/>
    </row>
    <row r="9" spans="1:11" x14ac:dyDescent="0.3">
      <c r="A9" s="5"/>
      <c r="B9" s="1"/>
      <c r="C9" s="8"/>
      <c r="D9" s="5"/>
      <c r="E9" s="5" t="s">
        <v>7</v>
      </c>
      <c r="F9" s="5"/>
      <c r="G9" s="11">
        <f t="shared" ca="1" si="0"/>
        <v>1005</v>
      </c>
      <c r="H9" s="5" t="s">
        <v>14</v>
      </c>
      <c r="I9" s="11">
        <f t="shared" ca="1" si="1"/>
        <v>672</v>
      </c>
      <c r="J9" s="11">
        <f t="shared" ca="1" si="2"/>
        <v>675360</v>
      </c>
      <c r="K9" s="5"/>
    </row>
    <row r="10" spans="1:11" x14ac:dyDescent="0.3">
      <c r="A10" s="5"/>
      <c r="B10" s="7">
        <v>45385</v>
      </c>
      <c r="C10" s="8" t="s">
        <v>19</v>
      </c>
      <c r="D10" s="5" t="s">
        <v>20</v>
      </c>
      <c r="E10" s="5" t="s">
        <v>7</v>
      </c>
      <c r="F10" s="5" t="s">
        <v>21</v>
      </c>
      <c r="G10" s="11">
        <f t="shared" ca="1" si="0"/>
        <v>5556</v>
      </c>
      <c r="H10" s="5" t="s">
        <v>14</v>
      </c>
      <c r="I10" s="11">
        <f t="shared" ca="1" si="1"/>
        <v>5509</v>
      </c>
      <c r="J10" s="11">
        <f t="shared" ca="1" si="2"/>
        <v>30608004</v>
      </c>
      <c r="K10" s="5"/>
    </row>
    <row r="11" spans="1:11" x14ac:dyDescent="0.3">
      <c r="A11" s="5"/>
      <c r="B11" s="1"/>
      <c r="C11" s="8"/>
      <c r="D11" s="5"/>
      <c r="E11" s="5" t="s">
        <v>7</v>
      </c>
      <c r="F11" s="5"/>
      <c r="G11" s="11">
        <f t="shared" ca="1" si="0"/>
        <v>2800</v>
      </c>
      <c r="H11" s="5" t="s">
        <v>14</v>
      </c>
      <c r="I11" s="11">
        <f t="shared" ca="1" si="1"/>
        <v>1000</v>
      </c>
      <c r="J11" s="11">
        <f t="shared" ca="1" si="2"/>
        <v>2800000</v>
      </c>
      <c r="K11" s="5"/>
    </row>
    <row r="12" spans="1:11" x14ac:dyDescent="0.3">
      <c r="A12" s="5"/>
      <c r="B12" s="7">
        <v>45385</v>
      </c>
      <c r="C12" s="8" t="s">
        <v>19</v>
      </c>
      <c r="D12" s="5" t="s">
        <v>20</v>
      </c>
      <c r="E12" s="5" t="s">
        <v>7</v>
      </c>
      <c r="F12" s="5" t="s">
        <v>21</v>
      </c>
      <c r="G12" s="11">
        <f t="shared" ca="1" si="0"/>
        <v>4583</v>
      </c>
      <c r="H12" s="5" t="s">
        <v>16</v>
      </c>
      <c r="I12" s="11">
        <f t="shared" ca="1" si="1"/>
        <v>4682</v>
      </c>
      <c r="J12" s="11">
        <f t="shared" ca="1" si="2"/>
        <v>21457606</v>
      </c>
      <c r="K12" s="5"/>
    </row>
    <row r="13" spans="1:11" x14ac:dyDescent="0.3">
      <c r="A13" s="5"/>
      <c r="B13" s="1"/>
      <c r="C13" s="8"/>
      <c r="D13" s="5"/>
      <c r="E13" s="5" t="s">
        <v>7</v>
      </c>
      <c r="F13" s="5"/>
      <c r="G13" s="11">
        <f t="shared" ca="1" si="0"/>
        <v>5744</v>
      </c>
      <c r="H13" s="5" t="s">
        <v>17</v>
      </c>
      <c r="I13" s="11">
        <f t="shared" ca="1" si="1"/>
        <v>5353</v>
      </c>
      <c r="J13" s="11">
        <f t="shared" ca="1" si="2"/>
        <v>30747632</v>
      </c>
      <c r="K13" s="5"/>
    </row>
    <row r="14" spans="1:11" x14ac:dyDescent="0.3">
      <c r="A14" s="5"/>
      <c r="B14" s="7">
        <v>45385</v>
      </c>
      <c r="C14" s="8" t="s">
        <v>19</v>
      </c>
      <c r="D14" s="5" t="s">
        <v>20</v>
      </c>
      <c r="E14" s="5" t="s">
        <v>7</v>
      </c>
      <c r="F14" s="5" t="s">
        <v>22</v>
      </c>
      <c r="G14" s="11">
        <f t="shared" ca="1" si="0"/>
        <v>3287</v>
      </c>
      <c r="H14" s="5" t="s">
        <v>14</v>
      </c>
      <c r="I14" s="11">
        <f t="shared" ca="1" si="1"/>
        <v>1779</v>
      </c>
      <c r="J14" s="11">
        <f t="shared" ca="1" si="2"/>
        <v>5847573</v>
      </c>
      <c r="K14" s="5"/>
    </row>
    <row r="15" spans="1:11" x14ac:dyDescent="0.3">
      <c r="A15" s="5"/>
      <c r="B15" s="1"/>
      <c r="C15" s="8"/>
      <c r="D15" s="5"/>
      <c r="E15" s="5" t="s">
        <v>7</v>
      </c>
      <c r="F15" s="5"/>
      <c r="G15" s="11">
        <f t="shared" ca="1" si="0"/>
        <v>4009</v>
      </c>
      <c r="H15" s="5" t="s">
        <v>14</v>
      </c>
      <c r="I15" s="11">
        <f t="shared" ca="1" si="1"/>
        <v>3772</v>
      </c>
      <c r="J15" s="11">
        <f t="shared" ca="1" si="2"/>
        <v>15121948</v>
      </c>
      <c r="K15" s="5"/>
    </row>
    <row r="16" spans="1:11" x14ac:dyDescent="0.3">
      <c r="A16" s="5"/>
      <c r="B16" s="1"/>
      <c r="C16" s="8"/>
      <c r="D16" s="5"/>
      <c r="E16" s="5" t="s">
        <v>7</v>
      </c>
      <c r="F16" s="5"/>
      <c r="G16" s="11">
        <f t="shared" ca="1" si="0"/>
        <v>4287</v>
      </c>
      <c r="H16" s="5" t="s">
        <v>14</v>
      </c>
      <c r="I16" s="11">
        <f t="shared" ca="1" si="1"/>
        <v>51</v>
      </c>
      <c r="J16" s="11">
        <f t="shared" ca="1" si="2"/>
        <v>218637</v>
      </c>
      <c r="K16" s="5"/>
    </row>
    <row r="17" spans="1:11" x14ac:dyDescent="0.3">
      <c r="A17" s="5"/>
      <c r="B17" s="1"/>
      <c r="C17" s="8"/>
      <c r="D17" s="5"/>
      <c r="E17" s="5" t="s">
        <v>7</v>
      </c>
      <c r="F17" s="5"/>
      <c r="G17" s="11">
        <f t="shared" ca="1" si="0"/>
        <v>1020</v>
      </c>
      <c r="H17" s="5" t="s">
        <v>14</v>
      </c>
      <c r="I17" s="11">
        <f t="shared" ca="1" si="1"/>
        <v>591</v>
      </c>
      <c r="J17" s="11">
        <f t="shared" ca="1" si="2"/>
        <v>602820</v>
      </c>
      <c r="K17" s="5"/>
    </row>
    <row r="18" spans="1:11" x14ac:dyDescent="0.3">
      <c r="A18" s="5"/>
      <c r="B18" s="1"/>
      <c r="C18" s="8"/>
      <c r="D18" s="5"/>
      <c r="E18" s="5" t="s">
        <v>7</v>
      </c>
      <c r="F18" s="5"/>
      <c r="G18" s="11">
        <f t="shared" ca="1" si="0"/>
        <v>4510</v>
      </c>
      <c r="H18" s="5" t="s">
        <v>14</v>
      </c>
      <c r="I18" s="11">
        <f t="shared" ca="1" si="1"/>
        <v>2320</v>
      </c>
      <c r="J18" s="11">
        <f t="shared" ca="1" si="2"/>
        <v>10463200</v>
      </c>
      <c r="K18" s="5"/>
    </row>
    <row r="19" spans="1:11" x14ac:dyDescent="0.3">
      <c r="A19" s="5"/>
      <c r="B19" s="1"/>
      <c r="C19" s="8"/>
      <c r="D19" s="5"/>
      <c r="E19" s="5" t="s">
        <v>7</v>
      </c>
      <c r="F19" s="5"/>
      <c r="G19" s="11">
        <f t="shared" ca="1" si="0"/>
        <v>4918</v>
      </c>
      <c r="H19" s="5" t="s">
        <v>14</v>
      </c>
      <c r="I19" s="11">
        <f t="shared" ca="1" si="1"/>
        <v>5066</v>
      </c>
      <c r="J19" s="11">
        <f t="shared" ca="1" si="2"/>
        <v>24914588</v>
      </c>
      <c r="K19" s="5"/>
    </row>
    <row r="20" spans="1:11" x14ac:dyDescent="0.3">
      <c r="A20" s="5"/>
      <c r="B20" s="1"/>
      <c r="C20" s="8"/>
      <c r="D20" s="5"/>
      <c r="E20" s="5" t="s">
        <v>7</v>
      </c>
      <c r="F20" s="5"/>
      <c r="G20" s="11">
        <f t="shared" ca="1" si="0"/>
        <v>2025</v>
      </c>
      <c r="H20" s="5" t="s">
        <v>14</v>
      </c>
      <c r="I20" s="11">
        <f t="shared" ca="1" si="1"/>
        <v>4020</v>
      </c>
      <c r="J20" s="11">
        <f t="shared" ca="1" si="2"/>
        <v>8140500</v>
      </c>
      <c r="K20" s="5"/>
    </row>
    <row r="21" spans="1:11" x14ac:dyDescent="0.3">
      <c r="A21" s="5"/>
      <c r="B21" s="1"/>
      <c r="C21" s="8"/>
      <c r="D21" s="5"/>
      <c r="E21" s="5" t="s">
        <v>7</v>
      </c>
      <c r="F21" s="5"/>
      <c r="G21" s="11">
        <f t="shared" ca="1" si="0"/>
        <v>3884</v>
      </c>
      <c r="H21" s="5" t="s">
        <v>14</v>
      </c>
      <c r="I21" s="11">
        <f t="shared" ca="1" si="1"/>
        <v>3099</v>
      </c>
      <c r="J21" s="11">
        <f t="shared" ca="1" si="2"/>
        <v>12036516</v>
      </c>
      <c r="K21" s="5"/>
    </row>
    <row r="22" spans="1:11" x14ac:dyDescent="0.3">
      <c r="A22" s="5"/>
      <c r="B22" s="1"/>
      <c r="C22" s="8"/>
      <c r="D22" s="5"/>
      <c r="E22" s="5" t="s">
        <v>7</v>
      </c>
      <c r="F22" s="5"/>
      <c r="G22" s="11">
        <f t="shared" ca="1" si="0"/>
        <v>3836</v>
      </c>
      <c r="H22" s="5" t="s">
        <v>14</v>
      </c>
      <c r="I22" s="11">
        <f t="shared" ca="1" si="1"/>
        <v>3644</v>
      </c>
      <c r="J22" s="11">
        <f t="shared" ca="1" si="2"/>
        <v>13978384</v>
      </c>
      <c r="K22" s="5"/>
    </row>
    <row r="23" spans="1:11" x14ac:dyDescent="0.3">
      <c r="A23" s="5"/>
      <c r="B23" s="7">
        <v>45385</v>
      </c>
      <c r="C23" s="8" t="s">
        <v>19</v>
      </c>
      <c r="D23" s="5" t="s">
        <v>20</v>
      </c>
      <c r="E23" s="5" t="s">
        <v>7</v>
      </c>
      <c r="F23" s="5" t="s">
        <v>23</v>
      </c>
      <c r="G23" s="11">
        <f t="shared" ca="1" si="0"/>
        <v>2165</v>
      </c>
      <c r="H23" s="5" t="s">
        <v>14</v>
      </c>
      <c r="I23" s="11">
        <f t="shared" ca="1" si="1"/>
        <v>1206</v>
      </c>
      <c r="J23" s="11">
        <f t="shared" ca="1" si="2"/>
        <v>2610990</v>
      </c>
      <c r="K23" s="5"/>
    </row>
    <row r="24" spans="1:11" x14ac:dyDescent="0.3">
      <c r="A24" s="5"/>
      <c r="B24" s="1"/>
      <c r="C24" s="8"/>
      <c r="D24" s="5"/>
      <c r="E24" s="5" t="s">
        <v>7</v>
      </c>
      <c r="F24" s="5"/>
      <c r="G24" s="11">
        <f t="shared" ca="1" si="0"/>
        <v>2602</v>
      </c>
      <c r="H24" s="5" t="s">
        <v>14</v>
      </c>
      <c r="I24" s="11">
        <f t="shared" ca="1" si="1"/>
        <v>5731</v>
      </c>
      <c r="J24" s="11">
        <f t="shared" ca="1" si="2"/>
        <v>14912062</v>
      </c>
      <c r="K24" s="5"/>
    </row>
    <row r="25" spans="1:11" x14ac:dyDescent="0.3">
      <c r="A25" s="5"/>
      <c r="B25" s="1"/>
      <c r="C25" s="8"/>
      <c r="D25" s="5"/>
      <c r="E25" s="5" t="s">
        <v>7</v>
      </c>
      <c r="F25" s="5"/>
      <c r="G25" s="11">
        <f t="shared" ca="1" si="0"/>
        <v>3151</v>
      </c>
      <c r="H25" s="5" t="s">
        <v>14</v>
      </c>
      <c r="I25" s="11">
        <f t="shared" ca="1" si="1"/>
        <v>979</v>
      </c>
      <c r="J25" s="11">
        <f t="shared" ca="1" si="2"/>
        <v>3084829</v>
      </c>
      <c r="K25" s="5"/>
    </row>
    <row r="26" spans="1:11" x14ac:dyDescent="0.3">
      <c r="A26" s="5"/>
      <c r="B26" s="7">
        <v>45385</v>
      </c>
      <c r="C26" s="8" t="s">
        <v>19</v>
      </c>
      <c r="D26" s="5" t="s">
        <v>20</v>
      </c>
      <c r="E26" s="5" t="s">
        <v>7</v>
      </c>
      <c r="F26" s="5" t="s">
        <v>24</v>
      </c>
      <c r="G26" s="11">
        <f t="shared" ca="1" si="0"/>
        <v>4737</v>
      </c>
      <c r="H26" s="5" t="s">
        <v>14</v>
      </c>
      <c r="I26" s="11">
        <f t="shared" ca="1" si="1"/>
        <v>1419</v>
      </c>
      <c r="J26" s="11">
        <f t="shared" ca="1" si="2"/>
        <v>6721803</v>
      </c>
      <c r="K26" s="5"/>
    </row>
    <row r="27" spans="1:11" x14ac:dyDescent="0.3">
      <c r="A27" s="5"/>
      <c r="B27" s="1"/>
      <c r="C27" s="8"/>
      <c r="D27" s="5"/>
      <c r="E27" s="5" t="s">
        <v>7</v>
      </c>
      <c r="F27" s="5"/>
      <c r="G27" s="11">
        <f t="shared" ca="1" si="0"/>
        <v>5520</v>
      </c>
      <c r="H27" s="5" t="s">
        <v>14</v>
      </c>
      <c r="I27" s="11">
        <f t="shared" ca="1" si="1"/>
        <v>5056</v>
      </c>
      <c r="J27" s="11">
        <f t="shared" ca="1" si="2"/>
        <v>27909120</v>
      </c>
      <c r="K27" s="5"/>
    </row>
    <row r="28" spans="1:11" x14ac:dyDescent="0.3">
      <c r="A28" s="5"/>
      <c r="B28" s="1"/>
      <c r="C28" s="8"/>
      <c r="D28" s="5"/>
      <c r="E28" s="5" t="s">
        <v>7</v>
      </c>
      <c r="F28" s="5"/>
      <c r="G28" s="11">
        <f t="shared" ca="1" si="0"/>
        <v>3910</v>
      </c>
      <c r="H28" s="5" t="s">
        <v>14</v>
      </c>
      <c r="I28" s="11">
        <f t="shared" ca="1" si="1"/>
        <v>590</v>
      </c>
      <c r="J28" s="11">
        <f t="shared" ca="1" si="2"/>
        <v>2306900</v>
      </c>
      <c r="K28" s="5"/>
    </row>
    <row r="29" spans="1:11" x14ac:dyDescent="0.3">
      <c r="A29" s="5"/>
      <c r="B29" s="1"/>
      <c r="C29" s="8"/>
      <c r="D29" s="5"/>
      <c r="E29" s="5" t="s">
        <v>7</v>
      </c>
      <c r="F29" s="5"/>
      <c r="G29" s="11">
        <f t="shared" ca="1" si="0"/>
        <v>5263</v>
      </c>
      <c r="H29" s="5" t="s">
        <v>14</v>
      </c>
      <c r="I29" s="11">
        <f t="shared" ca="1" si="1"/>
        <v>5772</v>
      </c>
      <c r="J29" s="11">
        <f t="shared" ca="1" si="2"/>
        <v>30378036</v>
      </c>
      <c r="K29" s="5"/>
    </row>
    <row r="30" spans="1:11" x14ac:dyDescent="0.3">
      <c r="A30" s="5"/>
      <c r="B30" s="7">
        <v>45385</v>
      </c>
      <c r="C30" s="8" t="s">
        <v>19</v>
      </c>
      <c r="D30" s="5" t="s">
        <v>20</v>
      </c>
      <c r="E30" s="5" t="s">
        <v>7</v>
      </c>
      <c r="F30" s="5" t="s">
        <v>23</v>
      </c>
      <c r="G30" s="11">
        <f t="shared" ca="1" si="0"/>
        <v>5494</v>
      </c>
      <c r="H30" s="5" t="s">
        <v>14</v>
      </c>
      <c r="I30" s="11">
        <f t="shared" ca="1" si="1"/>
        <v>2083</v>
      </c>
      <c r="J30" s="11">
        <f t="shared" ca="1" si="2"/>
        <v>11444002</v>
      </c>
      <c r="K30" s="5"/>
    </row>
    <row r="31" spans="1:11" x14ac:dyDescent="0.3">
      <c r="A31" s="5"/>
      <c r="B31" s="1"/>
      <c r="C31" s="8"/>
      <c r="D31" s="5"/>
      <c r="E31" s="5" t="s">
        <v>7</v>
      </c>
      <c r="F31" s="5"/>
      <c r="G31" s="11">
        <f t="shared" ca="1" si="0"/>
        <v>3243</v>
      </c>
      <c r="H31" s="5" t="s">
        <v>14</v>
      </c>
      <c r="I31" s="11">
        <f t="shared" ca="1" si="1"/>
        <v>1082</v>
      </c>
      <c r="J31" s="11">
        <f t="shared" ca="1" si="2"/>
        <v>3508926</v>
      </c>
      <c r="K31" s="5"/>
    </row>
    <row r="32" spans="1:11" x14ac:dyDescent="0.3">
      <c r="A32" s="5"/>
      <c r="B32" s="7">
        <v>45385</v>
      </c>
      <c r="C32" s="8" t="s">
        <v>19</v>
      </c>
      <c r="D32" s="5" t="s">
        <v>20</v>
      </c>
      <c r="E32" s="5" t="s">
        <v>7</v>
      </c>
      <c r="F32" s="5" t="s">
        <v>25</v>
      </c>
      <c r="G32" s="11">
        <f t="shared" ca="1" si="0"/>
        <v>2956</v>
      </c>
      <c r="H32" s="5" t="s">
        <v>14</v>
      </c>
      <c r="I32" s="11">
        <f t="shared" ca="1" si="1"/>
        <v>3088</v>
      </c>
      <c r="J32" s="11">
        <f t="shared" ca="1" si="2"/>
        <v>9128128</v>
      </c>
      <c r="K32" s="5"/>
    </row>
    <row r="33" spans="1:11" x14ac:dyDescent="0.3">
      <c r="A33" s="5"/>
      <c r="B33" s="1"/>
      <c r="C33" s="8"/>
      <c r="D33" s="5"/>
      <c r="E33" s="5" t="s">
        <v>7</v>
      </c>
      <c r="F33" s="5"/>
      <c r="G33" s="11">
        <f t="shared" ca="1" si="0"/>
        <v>1969</v>
      </c>
      <c r="H33" s="5" t="s">
        <v>14</v>
      </c>
      <c r="I33" s="11">
        <f t="shared" ca="1" si="1"/>
        <v>2142</v>
      </c>
      <c r="J33" s="11">
        <f t="shared" ca="1" si="2"/>
        <v>4217598</v>
      </c>
      <c r="K33" s="5"/>
    </row>
    <row r="34" spans="1:11" x14ac:dyDescent="0.3">
      <c r="A34" s="5"/>
      <c r="B34" s="1"/>
      <c r="C34" s="8"/>
      <c r="D34" s="5"/>
      <c r="E34" s="5" t="s">
        <v>7</v>
      </c>
      <c r="F34" s="5"/>
      <c r="G34" s="11">
        <f t="shared" ca="1" si="0"/>
        <v>973</v>
      </c>
      <c r="H34" s="5" t="s">
        <v>14</v>
      </c>
      <c r="I34" s="11">
        <f t="shared" ca="1" si="1"/>
        <v>266</v>
      </c>
      <c r="J34" s="11">
        <f t="shared" ca="1" si="2"/>
        <v>258818</v>
      </c>
      <c r="K34" s="5"/>
    </row>
    <row r="35" spans="1:11" x14ac:dyDescent="0.3">
      <c r="A35" s="5"/>
      <c r="B35" s="1"/>
      <c r="C35" s="8"/>
      <c r="D35" s="5"/>
      <c r="E35" s="5" t="s">
        <v>7</v>
      </c>
      <c r="F35" s="5"/>
      <c r="G35" s="11">
        <f t="shared" ca="1" si="0"/>
        <v>2622</v>
      </c>
      <c r="H35" s="5" t="s">
        <v>14</v>
      </c>
      <c r="I35" s="11">
        <f t="shared" ca="1" si="1"/>
        <v>2414</v>
      </c>
      <c r="J35" s="11">
        <f t="shared" ca="1" si="2"/>
        <v>6329508</v>
      </c>
      <c r="K35" s="5"/>
    </row>
    <row r="36" spans="1:11" x14ac:dyDescent="0.3">
      <c r="A36" s="5"/>
      <c r="B36" s="1"/>
      <c r="C36" s="8"/>
      <c r="D36" s="5"/>
      <c r="E36" s="5" t="s">
        <v>7</v>
      </c>
      <c r="F36" s="5"/>
      <c r="G36" s="11">
        <f t="shared" ca="1" si="0"/>
        <v>173</v>
      </c>
      <c r="H36" s="5" t="s">
        <v>17</v>
      </c>
      <c r="I36" s="11">
        <f t="shared" ca="1" si="1"/>
        <v>2823</v>
      </c>
      <c r="J36" s="11">
        <f t="shared" ca="1" si="2"/>
        <v>488379</v>
      </c>
      <c r="K36" s="5"/>
    </row>
    <row r="37" spans="1:11" x14ac:dyDescent="0.3">
      <c r="A37" s="5"/>
      <c r="B37" s="7">
        <v>45385</v>
      </c>
      <c r="C37" s="8" t="s">
        <v>19</v>
      </c>
      <c r="D37" s="5" t="s">
        <v>20</v>
      </c>
      <c r="E37" s="5" t="s">
        <v>7</v>
      </c>
      <c r="F37" s="5" t="s">
        <v>26</v>
      </c>
      <c r="G37" s="11">
        <f t="shared" ca="1" si="0"/>
        <v>3807</v>
      </c>
      <c r="H37" s="5" t="s">
        <v>14</v>
      </c>
      <c r="I37" s="11">
        <f t="shared" ca="1" si="1"/>
        <v>5932</v>
      </c>
      <c r="J37" s="11">
        <f t="shared" ca="1" si="2"/>
        <v>22583124</v>
      </c>
      <c r="K37" s="5"/>
    </row>
    <row r="38" spans="1:11" x14ac:dyDescent="0.3">
      <c r="A38" s="5"/>
      <c r="B38" s="1"/>
      <c r="C38" s="8"/>
      <c r="D38" s="5"/>
      <c r="E38" s="5" t="s">
        <v>7</v>
      </c>
      <c r="F38" s="5"/>
      <c r="G38" s="11">
        <f t="shared" ca="1" si="0"/>
        <v>2197</v>
      </c>
      <c r="H38" s="5" t="s">
        <v>17</v>
      </c>
      <c r="I38" s="11">
        <f t="shared" ca="1" si="1"/>
        <v>4500</v>
      </c>
      <c r="J38" s="11">
        <f t="shared" ca="1" si="2"/>
        <v>9886500</v>
      </c>
      <c r="K38" s="5"/>
    </row>
    <row r="39" spans="1:11" x14ac:dyDescent="0.3">
      <c r="A39" s="5"/>
      <c r="B39" s="7">
        <v>45385</v>
      </c>
      <c r="C39" s="8" t="s">
        <v>19</v>
      </c>
      <c r="D39" s="5" t="s">
        <v>20</v>
      </c>
      <c r="E39" s="5" t="s">
        <v>7</v>
      </c>
      <c r="F39" s="5" t="s">
        <v>27</v>
      </c>
      <c r="G39" s="11">
        <f t="shared" ca="1" si="0"/>
        <v>1900</v>
      </c>
      <c r="H39" s="5" t="s">
        <v>14</v>
      </c>
      <c r="I39" s="11">
        <f t="shared" ca="1" si="1"/>
        <v>5025</v>
      </c>
      <c r="J39" s="11">
        <f t="shared" ca="1" si="2"/>
        <v>9547500</v>
      </c>
      <c r="K39" s="5"/>
    </row>
    <row r="40" spans="1:11" x14ac:dyDescent="0.3">
      <c r="A40" s="5"/>
      <c r="B40" s="1"/>
      <c r="C40" s="8"/>
      <c r="D40" s="5"/>
      <c r="E40" s="5" t="s">
        <v>7</v>
      </c>
      <c r="F40" s="5"/>
      <c r="G40" s="11">
        <f t="shared" ca="1" si="0"/>
        <v>2832</v>
      </c>
      <c r="H40" s="5" t="s">
        <v>14</v>
      </c>
      <c r="I40" s="11">
        <f t="shared" ca="1" si="1"/>
        <v>5790</v>
      </c>
      <c r="J40" s="11">
        <f t="shared" ca="1" si="2"/>
        <v>16397280</v>
      </c>
      <c r="K40" s="5"/>
    </row>
    <row r="41" spans="1:11" x14ac:dyDescent="0.3">
      <c r="A41" s="5"/>
      <c r="B41" s="1"/>
      <c r="C41" s="8"/>
      <c r="D41" s="5"/>
      <c r="E41" s="5" t="s">
        <v>7</v>
      </c>
      <c r="F41" s="5"/>
      <c r="G41" s="11">
        <f t="shared" ca="1" si="0"/>
        <v>170</v>
      </c>
      <c r="H41" s="5" t="s">
        <v>14</v>
      </c>
      <c r="I41" s="11">
        <f t="shared" ca="1" si="1"/>
        <v>5325</v>
      </c>
      <c r="J41" s="11">
        <f t="shared" ca="1" si="2"/>
        <v>905250</v>
      </c>
      <c r="K41" s="5"/>
    </row>
    <row r="42" spans="1:11" x14ac:dyDescent="0.3">
      <c r="A42" s="5"/>
      <c r="B42" s="1"/>
      <c r="C42" s="8"/>
      <c r="D42" s="5"/>
      <c r="E42" s="5" t="s">
        <v>7</v>
      </c>
      <c r="F42" s="5"/>
      <c r="G42" s="11">
        <f t="shared" ca="1" si="0"/>
        <v>3015</v>
      </c>
      <c r="H42" s="5" t="s">
        <v>14</v>
      </c>
      <c r="I42" s="11">
        <f t="shared" ca="1" si="1"/>
        <v>2797</v>
      </c>
      <c r="J42" s="11">
        <f t="shared" ca="1" si="2"/>
        <v>8432955</v>
      </c>
      <c r="K42" s="5"/>
    </row>
    <row r="43" spans="1:11" x14ac:dyDescent="0.3">
      <c r="A43" s="5"/>
      <c r="B43" s="1"/>
      <c r="C43" s="8"/>
      <c r="D43" s="5"/>
      <c r="E43" s="5" t="s">
        <v>7</v>
      </c>
      <c r="F43" s="5"/>
      <c r="G43" s="11">
        <f t="shared" ca="1" si="0"/>
        <v>3159</v>
      </c>
      <c r="H43" s="5" t="s">
        <v>14</v>
      </c>
      <c r="I43" s="11">
        <f t="shared" ca="1" si="1"/>
        <v>2377</v>
      </c>
      <c r="J43" s="11">
        <f t="shared" ca="1" si="2"/>
        <v>7508943</v>
      </c>
      <c r="K43" s="5"/>
    </row>
    <row r="44" spans="1:11" x14ac:dyDescent="0.3">
      <c r="A44" s="5"/>
      <c r="B44" s="1"/>
      <c r="C44" s="8"/>
      <c r="D44" s="5"/>
      <c r="E44" s="5" t="s">
        <v>7</v>
      </c>
      <c r="F44" s="5"/>
      <c r="G44" s="11">
        <f t="shared" ca="1" si="0"/>
        <v>3455</v>
      </c>
      <c r="H44" s="5" t="s">
        <v>14</v>
      </c>
      <c r="I44" s="11">
        <f t="shared" ca="1" si="1"/>
        <v>5056</v>
      </c>
      <c r="J44" s="11">
        <f t="shared" ca="1" si="2"/>
        <v>17468480</v>
      </c>
      <c r="K44" s="5"/>
    </row>
    <row r="45" spans="1:11" x14ac:dyDescent="0.3">
      <c r="A45" s="5"/>
      <c r="B45" s="1"/>
      <c r="C45" s="8"/>
      <c r="D45" s="5"/>
      <c r="E45" s="5" t="s">
        <v>7</v>
      </c>
      <c r="F45" s="5"/>
      <c r="G45" s="11">
        <f t="shared" ca="1" si="0"/>
        <v>570</v>
      </c>
      <c r="H45" s="5" t="s">
        <v>14</v>
      </c>
      <c r="I45" s="11">
        <f t="shared" ca="1" si="1"/>
        <v>124</v>
      </c>
      <c r="J45" s="11">
        <f t="shared" ca="1" si="2"/>
        <v>70680</v>
      </c>
      <c r="K45" s="5"/>
    </row>
    <row r="46" spans="1:11" x14ac:dyDescent="0.3">
      <c r="A46" s="5"/>
      <c r="B46" s="7">
        <v>45386</v>
      </c>
      <c r="C46" s="8" t="s">
        <v>19</v>
      </c>
      <c r="D46" s="5" t="s">
        <v>20</v>
      </c>
      <c r="E46" s="5" t="s">
        <v>7</v>
      </c>
      <c r="F46" s="5" t="s">
        <v>21</v>
      </c>
      <c r="G46" s="11">
        <f t="shared" ca="1" si="0"/>
        <v>4365</v>
      </c>
      <c r="H46" s="5" t="s">
        <v>14</v>
      </c>
      <c r="I46" s="11">
        <f t="shared" ca="1" si="1"/>
        <v>5154</v>
      </c>
      <c r="J46" s="11">
        <f t="shared" ca="1" si="2"/>
        <v>22497210</v>
      </c>
      <c r="K46" s="5"/>
    </row>
    <row r="47" spans="1:11" x14ac:dyDescent="0.3">
      <c r="A47" s="5"/>
      <c r="B47" s="1"/>
      <c r="C47" s="8"/>
      <c r="D47" s="5"/>
      <c r="E47" s="5" t="s">
        <v>7</v>
      </c>
      <c r="F47" s="5"/>
      <c r="G47" s="11">
        <f t="shared" ca="1" si="0"/>
        <v>4508</v>
      </c>
      <c r="H47" s="5" t="s">
        <v>14</v>
      </c>
      <c r="I47" s="11">
        <f t="shared" ca="1" si="1"/>
        <v>4543</v>
      </c>
      <c r="J47" s="11">
        <f t="shared" ca="1" si="2"/>
        <v>20479844</v>
      </c>
      <c r="K47" s="5"/>
    </row>
    <row r="48" spans="1:11" x14ac:dyDescent="0.3">
      <c r="A48" s="5"/>
      <c r="B48" s="7">
        <v>45386</v>
      </c>
      <c r="C48" s="8" t="s">
        <v>19</v>
      </c>
      <c r="D48" s="5" t="s">
        <v>20</v>
      </c>
      <c r="E48" s="5" t="s">
        <v>7</v>
      </c>
      <c r="F48" s="5" t="s">
        <v>21</v>
      </c>
      <c r="G48" s="11">
        <f t="shared" ca="1" si="0"/>
        <v>3571</v>
      </c>
      <c r="H48" s="5" t="s">
        <v>14</v>
      </c>
      <c r="I48" s="11">
        <f t="shared" ca="1" si="1"/>
        <v>2970</v>
      </c>
      <c r="J48" s="11">
        <f t="shared" ca="1" si="2"/>
        <v>10605870</v>
      </c>
      <c r="K48" s="5"/>
    </row>
    <row r="49" spans="1:11" x14ac:dyDescent="0.3">
      <c r="A49" s="5"/>
      <c r="B49" s="1"/>
      <c r="C49" s="8"/>
      <c r="D49" s="5"/>
      <c r="E49" s="5" t="s">
        <v>7</v>
      </c>
      <c r="F49" s="5"/>
      <c r="G49" s="11">
        <f t="shared" ca="1" si="0"/>
        <v>4561</v>
      </c>
      <c r="H49" s="5" t="s">
        <v>14</v>
      </c>
      <c r="I49" s="11">
        <f t="shared" ca="1" si="1"/>
        <v>3908</v>
      </c>
      <c r="J49" s="11">
        <f t="shared" ca="1" si="2"/>
        <v>17824388</v>
      </c>
      <c r="K49" s="5"/>
    </row>
    <row r="50" spans="1:11" x14ac:dyDescent="0.3">
      <c r="A50" s="5"/>
      <c r="B50" s="7">
        <v>45386</v>
      </c>
      <c r="C50" s="8" t="s">
        <v>19</v>
      </c>
      <c r="D50" s="5" t="s">
        <v>20</v>
      </c>
      <c r="E50" s="5" t="s">
        <v>7</v>
      </c>
      <c r="F50" s="5" t="s">
        <v>21</v>
      </c>
      <c r="G50" s="11">
        <f t="shared" ca="1" si="0"/>
        <v>5817</v>
      </c>
      <c r="H50" s="5" t="s">
        <v>14</v>
      </c>
      <c r="I50" s="11">
        <f t="shared" ca="1" si="1"/>
        <v>684</v>
      </c>
      <c r="J50" s="11">
        <f t="shared" ca="1" si="2"/>
        <v>3978828</v>
      </c>
      <c r="K50" s="5"/>
    </row>
    <row r="51" spans="1:11" x14ac:dyDescent="0.3">
      <c r="A51" s="5"/>
      <c r="B51" s="1"/>
      <c r="C51" s="8"/>
      <c r="D51" s="5"/>
      <c r="E51" s="5" t="s">
        <v>7</v>
      </c>
      <c r="F51" s="5"/>
      <c r="G51" s="11">
        <f t="shared" ca="1" si="0"/>
        <v>5518</v>
      </c>
      <c r="H51" s="5" t="s">
        <v>14</v>
      </c>
      <c r="I51" s="11">
        <f t="shared" ca="1" si="1"/>
        <v>3298</v>
      </c>
      <c r="J51" s="11">
        <f t="shared" ca="1" si="2"/>
        <v>18198364</v>
      </c>
      <c r="K51" s="5"/>
    </row>
    <row r="52" spans="1:11" x14ac:dyDescent="0.3">
      <c r="A52" s="5"/>
      <c r="B52" s="1"/>
      <c r="C52" s="8"/>
      <c r="D52" s="5"/>
      <c r="E52" s="5" t="s">
        <v>7</v>
      </c>
      <c r="F52" s="5"/>
      <c r="G52" s="11">
        <f t="shared" ca="1" si="0"/>
        <v>1031</v>
      </c>
      <c r="H52" s="5" t="s">
        <v>14</v>
      </c>
      <c r="I52" s="11">
        <f t="shared" ca="1" si="1"/>
        <v>188</v>
      </c>
      <c r="J52" s="11">
        <f t="shared" ca="1" si="2"/>
        <v>193828</v>
      </c>
      <c r="K52" s="5"/>
    </row>
    <row r="53" spans="1:11" x14ac:dyDescent="0.3">
      <c r="A53" s="5"/>
      <c r="B53" s="1"/>
      <c r="C53" s="8"/>
      <c r="D53" s="5"/>
      <c r="E53" s="5" t="s">
        <v>7</v>
      </c>
      <c r="F53" s="5"/>
      <c r="G53" s="11">
        <f t="shared" ca="1" si="0"/>
        <v>2985</v>
      </c>
      <c r="H53" s="5" t="s">
        <v>14</v>
      </c>
      <c r="I53" s="11">
        <f t="shared" ca="1" si="1"/>
        <v>5605</v>
      </c>
      <c r="J53" s="11">
        <f t="shared" ca="1" si="2"/>
        <v>16730925</v>
      </c>
      <c r="K53" s="5"/>
    </row>
    <row r="54" spans="1:11" x14ac:dyDescent="0.3">
      <c r="A54" s="5"/>
      <c r="B54" s="1"/>
      <c r="C54" s="8"/>
      <c r="D54" s="5"/>
      <c r="E54" s="5" t="s">
        <v>7</v>
      </c>
      <c r="F54" s="5"/>
      <c r="G54" s="11">
        <f t="shared" ca="1" si="0"/>
        <v>3568</v>
      </c>
      <c r="H54" s="5" t="s">
        <v>14</v>
      </c>
      <c r="I54" s="11">
        <f t="shared" ca="1" si="1"/>
        <v>5881</v>
      </c>
      <c r="J54" s="11">
        <f t="shared" ca="1" si="2"/>
        <v>20983408</v>
      </c>
      <c r="K54" s="5"/>
    </row>
    <row r="55" spans="1:11" x14ac:dyDescent="0.3">
      <c r="A55" s="5"/>
      <c r="B55" s="7">
        <v>45386</v>
      </c>
      <c r="C55" s="8" t="s">
        <v>19</v>
      </c>
      <c r="D55" s="5" t="s">
        <v>20</v>
      </c>
      <c r="E55" s="5" t="s">
        <v>7</v>
      </c>
      <c r="F55" s="5" t="s">
        <v>21</v>
      </c>
      <c r="G55" s="11">
        <f t="shared" ca="1" si="0"/>
        <v>2189</v>
      </c>
      <c r="H55" s="5" t="s">
        <v>14</v>
      </c>
      <c r="I55" s="11">
        <f t="shared" ca="1" si="1"/>
        <v>285</v>
      </c>
      <c r="J55" s="11">
        <f t="shared" ca="1" si="2"/>
        <v>623865</v>
      </c>
      <c r="K55" s="5"/>
    </row>
    <row r="56" spans="1:11" x14ac:dyDescent="0.3">
      <c r="A56" s="5"/>
      <c r="B56" s="7">
        <v>45386</v>
      </c>
      <c r="C56" s="8" t="s">
        <v>19</v>
      </c>
      <c r="D56" s="5" t="s">
        <v>20</v>
      </c>
      <c r="E56" s="5" t="s">
        <v>7</v>
      </c>
      <c r="F56" s="5" t="s">
        <v>21</v>
      </c>
      <c r="G56" s="11">
        <f t="shared" ca="1" si="0"/>
        <v>3396</v>
      </c>
      <c r="H56" s="5" t="s">
        <v>14</v>
      </c>
      <c r="I56" s="11">
        <f t="shared" ca="1" si="1"/>
        <v>3814</v>
      </c>
      <c r="J56" s="11">
        <f t="shared" ca="1" si="2"/>
        <v>12952344</v>
      </c>
      <c r="K56" s="5"/>
    </row>
    <row r="57" spans="1:11" x14ac:dyDescent="0.3">
      <c r="A57" s="5"/>
      <c r="B57" s="7">
        <v>45386</v>
      </c>
      <c r="C57" s="8" t="s">
        <v>19</v>
      </c>
      <c r="D57" s="5" t="s">
        <v>20</v>
      </c>
      <c r="E57" s="5" t="s">
        <v>7</v>
      </c>
      <c r="F57" s="5" t="s">
        <v>21</v>
      </c>
      <c r="G57" s="11">
        <f t="shared" ca="1" si="0"/>
        <v>3493</v>
      </c>
      <c r="H57" s="5" t="s">
        <v>14</v>
      </c>
      <c r="I57" s="11">
        <f t="shared" ca="1" si="1"/>
        <v>2917</v>
      </c>
      <c r="J57" s="11">
        <f t="shared" ca="1" si="2"/>
        <v>10189081</v>
      </c>
      <c r="K57" s="5"/>
    </row>
    <row r="58" spans="1:11" x14ac:dyDescent="0.3">
      <c r="A58" s="5"/>
      <c r="B58" s="7">
        <v>45386</v>
      </c>
      <c r="C58" s="8" t="s">
        <v>19</v>
      </c>
      <c r="D58" s="5" t="s">
        <v>20</v>
      </c>
      <c r="E58" s="5" t="s">
        <v>7</v>
      </c>
      <c r="F58" s="5" t="s">
        <v>21</v>
      </c>
      <c r="G58" s="11">
        <f t="shared" ca="1" si="0"/>
        <v>5799</v>
      </c>
      <c r="H58" s="5" t="s">
        <v>14</v>
      </c>
      <c r="I58" s="11">
        <f t="shared" ca="1" si="1"/>
        <v>639</v>
      </c>
      <c r="J58" s="11">
        <f t="shared" ca="1" si="2"/>
        <v>3705561</v>
      </c>
      <c r="K58" s="5"/>
    </row>
    <row r="59" spans="1:11" x14ac:dyDescent="0.3">
      <c r="A59" s="5"/>
      <c r="B59" s="1"/>
      <c r="C59" s="8"/>
      <c r="K59" s="5"/>
    </row>
    <row r="60" spans="1:11" x14ac:dyDescent="0.3">
      <c r="A60" s="5"/>
      <c r="F60" s="9" t="s">
        <v>18</v>
      </c>
      <c r="G60" s="12">
        <f ca="1">SUM(G6:G58)</f>
        <v>173695</v>
      </c>
      <c r="H60" s="2"/>
      <c r="I60" s="3"/>
      <c r="J60" s="12">
        <f ca="1">SUM(J6:J58)</f>
        <v>554360602</v>
      </c>
      <c r="K60" s="5"/>
    </row>
  </sheetData>
  <mergeCells count="5">
    <mergeCell ref="A1:K1"/>
    <mergeCell ref="A2:K2"/>
    <mergeCell ref="A3:K3"/>
    <mergeCell ref="A4:F4"/>
    <mergeCell ref="G4:K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Rawat</dc:creator>
  <cp:lastModifiedBy>Atharv Chaudhary</cp:lastModifiedBy>
  <dcterms:created xsi:type="dcterms:W3CDTF">2026-05-25T06:10:01Z</dcterms:created>
  <dcterms:modified xsi:type="dcterms:W3CDTF">2026-06-02T18:16:38Z</dcterms:modified>
</cp:coreProperties>
</file>